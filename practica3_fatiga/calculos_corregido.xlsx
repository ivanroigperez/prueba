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microsoft.com/office/2020/02/relationships/classificationlabels" Target="docMetadata/LabelInfo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rioja-my.sharepoint.com/personal/ivroig_unirioja_es/Documents/Escritorio/4 curso/1 cuatri/Cálculo/Cálculo Chayma/Cálculo de máquinas/Laboratorio/Práctica 3/"/>
    </mc:Choice>
  </mc:AlternateContent>
  <xr:revisionPtr revIDLastSave="38" documentId="13_ncr:1_{51BD9BB5-BD32-42D9-8EF0-1EBFEFAFDE74}" xr6:coauthVersionLast="47" xr6:coauthVersionMax="47" xr10:uidLastSave="{6F0C9A29-9E46-42C8-9070-CEF4648C1CCD}"/>
  <bookViews>
    <workbookView minimized="1" xWindow="2268" yWindow="2268" windowWidth="17280" windowHeight="8880" xr2:uid="{4AAFDC06-CDC8-4F7A-9073-7C4200AD1E80}"/>
  </bookViews>
  <sheets>
    <sheet name="Hoja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<sst xmlns="http://schemas.openxmlformats.org/spreadsheetml/2006/main" count="61" uniqueCount="39">
  <si>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R=0,4 mm</t>
  </si>
  <si>
    <t>R=0,8 mm</t>
  </si>
  <si>
    <t>Radio (mm)</t>
  </si>
  <si>
    <t>F (N)</t>
  </si>
  <si>
    <t>Nº de ciclos</t>
  </si>
  <si>
    <r>
      <t>σ</t>
    </r>
    <r>
      <rPr>
        <vertAlign val="subscript"/>
        <sz val="11"/>
        <color theme="1"/>
        <rFont val="Aptos Narrow"/>
        <family val="2"/>
      </rPr>
      <t>th</t>
    </r>
    <r>
      <rPr>
        <sz val="11"/>
        <color theme="1"/>
        <rFont val="Aptos Narrow"/>
        <family val="2"/>
      </rPr>
      <t xml:space="preserve"> (MPa)</t>
    </r>
  </si>
  <si>
    <r>
      <t>σ</t>
    </r>
    <r>
      <rPr>
        <vertAlign val="subscript"/>
        <sz val="11"/>
        <color theme="1"/>
        <rFont val="Aptos Narrow"/>
        <family val="2"/>
      </rPr>
      <t>real,estático</t>
    </r>
    <r>
      <rPr>
        <sz val="11"/>
        <color theme="1"/>
        <rFont val="Aptos Narrow"/>
        <family val="2"/>
      </rPr>
      <t xml:space="preserve"> (MPa)</t>
    </r>
  </si>
  <si>
    <r>
      <t>σ</t>
    </r>
    <r>
      <rPr>
        <vertAlign val="subscript"/>
        <sz val="11"/>
        <color theme="1"/>
        <rFont val="Aptos Narrow"/>
        <family val="2"/>
      </rPr>
      <t>real,dinamico</t>
    </r>
    <r>
      <rPr>
        <sz val="11"/>
        <color theme="1"/>
        <rFont val="Aptos Narrow"/>
        <family val="2"/>
      </rPr>
      <t xml:space="preserve"> (MPa)</t>
    </r>
  </si>
  <si>
    <t>Probetas</t>
  </si>
  <si>
    <t>L</t>
  </si>
  <si>
    <t>d</t>
  </si>
  <si>
    <t>D</t>
  </si>
  <si>
    <t>r</t>
  </si>
  <si>
    <t>R</t>
  </si>
  <si>
    <t xml:space="preserve">Kt para radio 0,4 </t>
  </si>
  <si>
    <t>D/d</t>
  </si>
  <si>
    <t>r/d</t>
  </si>
  <si>
    <t>Kt</t>
  </si>
  <si>
    <t xml:space="preserve">Concentracion de tensiones por fatiga </t>
  </si>
  <si>
    <t>Radio</t>
  </si>
  <si>
    <t>Sut</t>
  </si>
  <si>
    <t>q</t>
  </si>
  <si>
    <t>Kf</t>
  </si>
  <si>
    <t>R/d</t>
  </si>
  <si>
    <t xml:space="preserve">Kt para radio 0,8 </t>
  </si>
  <si>
    <t xml:space="preserve">Limite de fatiga </t>
  </si>
  <si>
    <t>Se' (MPa)</t>
  </si>
  <si>
    <t>ka</t>
  </si>
  <si>
    <t>kb</t>
  </si>
  <si>
    <t>kc</t>
  </si>
  <si>
    <t>kd</t>
  </si>
  <si>
    <t>ke</t>
  </si>
  <si>
    <t>kf</t>
  </si>
  <si>
    <t>Se (MPa)</t>
  </si>
  <si>
    <t>f</t>
  </si>
  <si>
    <t>A</t>
  </si>
  <si>
    <t>B</t>
  </si>
  <si>
    <r>
      <t>σ</t>
    </r>
    <r>
      <rPr>
        <vertAlign val="subscript"/>
        <sz val="11"/>
        <color theme="1"/>
        <rFont val="Aptos Narrow"/>
        <family val="2"/>
      </rPr>
      <t>th</t>
    </r>
    <r>
      <rPr>
        <sz val="11"/>
        <color theme="1"/>
        <rFont val="Aptos Narrow"/>
        <family val="2"/>
      </rPr>
      <t xml:space="preserve"> (MPa)</t>
    </r>
  </si>
  <si>
    <t>Kf·σth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</si>
</sst>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Nº ciclos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R=0,4 mm</c:v>
                </c:pt>
              </c:strCache>
            </c:strRef>
          </c:tx>
          <c:spPr>
            <a:ln w="34925" cap="rnd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Hoja1!$C$2:$F$2</c:f>
              <c:numCache>
                <c:formatCode>General</c:formatCode>
                <c:ptCount val="4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</c:numCache>
            </c:numRef>
          </c:cat>
          <c:val>
            <c:numRef>
              <c:f>Hoja1!$C$3:$F$3</c:f>
              <c:numCache>
                <c:formatCode>General</c:formatCode>
                <c:ptCount val="4"/>
                <c:pt idx="0">
                  <c:v>9858</c:v>
                </c:pt>
                <c:pt idx="1">
                  <c:v>7533</c:v>
                </c:pt>
                <c:pt idx="2">
                  <c:v>5593</c:v>
                </c:pt>
                <c:pt idx="3">
                  <c:v>5292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EE-4F8A-B043-3338B4776229}"/>
            </c:ext>
          </c:extLst>
        </c:ser>
        <c:ser>
          <c:idx val="1"/>
          <c:order val="1"/>
          <c:tx>
            <c:strRef>
              <c:f>Hoja1!$B$4</c:f>
              <c:strCache>
                <c:ptCount val="1"/>
                <c:pt idx="0">
                  <c:v>R=0,8 mm</c:v>
                </c:pt>
              </c:strCache>
            </c:strRef>
          </c:tx>
          <c:spPr>
            <a:ln w="34925" cap="rnd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Hoja1!$C$2:$F$2</c:f>
              <c:numCache>
                <c:formatCode>General</c:formatCode>
                <c:ptCount val="4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</c:numCache>
            </c:numRef>
          </c:cat>
          <c:val>
            <c:numRef>
              <c:f>Hoja1!$C$4:$F$4</c:f>
              <c:numCache>
                <c:formatCode>General</c:formatCode>
                <c:ptCount val="4"/>
                <c:pt idx="0">
                  <c:v>12612</c:v>
                </c:pt>
                <c:pt idx="1">
                  <c:v>6956</c:v>
                </c:pt>
                <c:pt idx="2">
                  <c:v>9257</c:v>
                </c:pt>
                <c:pt idx="3">
                  <c:v>4328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EE-4F8A-B043-3338B4776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201583"/>
        <c:axId val="416199183"/>
      </c:lineChart>
      <c:catAx>
        <c:axId val="41620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6199183"/>
        <c:crosses val="autoZero"/>
        <c:auto val="1"/>
        <c:lblAlgn val="ctr"/>
        <c:lblOffset val="100"/>
        <c:noMultiLvlLbl val="0"/>
      </c:catAx>
      <c:valAx>
        <c:axId val="41619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620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Tension real dinámica / Numero de ciclos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Hoja1!$J$3</c:f>
              <c:strCache>
                <c:ptCount val="1"/>
                <c:pt idx="0">
                  <c:v>0,4</c:v>
                </c:pt>
              </c:strCache>
            </c:strRef>
          </c:tx>
          <c:spPr>
            <a:ln w="9525" cap="rnd">
              <a:solidFill>
                <a:schemeClr val="accent1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>
                    <a:shade val="7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Hoja1!$L$3:$L$6</c:f>
              <c:numCache>
                <c:formatCode>General</c:formatCode>
                <c:ptCount val="4"/>
                <c:pt idx="0">
                  <c:v>9858</c:v>
                </c:pt>
                <c:pt idx="1">
                  <c:v>7533</c:v>
                </c:pt>
                <c:pt idx="2">
                  <c:v>5593</c:v>
                </c:pt>
                <c:pt idx="3">
                  <c:v>5292</c:v>
                </c:pt>
              </c:numCache>
            </c:numRef>
          </c:xVal>
          <c:yVal>
            <c:numRef>
              <c:f>Hoja1!$O$3:$O$6</c:f>
              <c:numCache>
                <c:formatCode>General</c:formatCode>
                <c:ptCount val="4"/>
                <c:pt idx="0">
                  <c:v>208.25583458517599</c:v>
                </c:pt>
                <c:pt idx="1">
                  <c:v>277.67444611356797</c:v>
                </c:pt>
                <c:pt idx="2">
                  <c:v>347.09305764195994</c:v>
                </c:pt>
                <c:pt idx="3">
                  <c:v>416.51166917035198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9B-4419-9DD2-07097F163FCA}"/>
            </c:ext>
          </c:extLst>
        </c:ser>
        <c:ser>
          <c:idx val="1"/>
          <c:order val="1"/>
          <c:tx>
            <c:strRef>
              <c:f>Hoja1!$J$24</c:f>
              <c:strCache>
                <c:ptCount val="1"/>
                <c:pt idx="0">
                  <c:v>0,8</c:v>
                </c:pt>
              </c:strCache>
            </c:strRef>
          </c:tx>
          <c:spPr>
            <a:ln w="9525" cap="rnd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>
                    <a:tint val="77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Hoja1!$L$24:$L$27</c:f>
              <c:numCache>
                <c:formatCode>General</c:formatCode>
                <c:ptCount val="4"/>
                <c:pt idx="0">
                  <c:v>12612</c:v>
                </c:pt>
                <c:pt idx="1">
                  <c:v>6956</c:v>
                </c:pt>
                <c:pt idx="2">
                  <c:v>9257</c:v>
                </c:pt>
                <c:pt idx="3">
                  <c:v>4328</c:v>
                </c:pt>
              </c:numCache>
            </c:numRef>
          </c:xVal>
          <c:yVal>
            <c:numRef>
              <c:f>Hoja1!$O$24:$O$27</c:f>
              <c:numCache>
                <c:formatCode>General</c:formatCode>
                <c:ptCount val="4"/>
                <c:pt idx="0">
                  <c:v>184.74307906749482</c:v>
                </c:pt>
                <c:pt idx="1">
                  <c:v>246.32410542332642</c:v>
                </c:pt>
                <c:pt idx="2">
                  <c:v>307.90513177915801</c:v>
                </c:pt>
                <c:pt idx="3">
                  <c:v>369.48615813498964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9B-4419-9DD2-07097F163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567807"/>
        <c:axId val="581566847"/>
      </c:scatterChart>
      <c:valAx>
        <c:axId val="58156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1566847"/>
        <c:crosses val="autoZero"/>
        <c:crossBetween val="midCat"/>
        <c:majorUnit val="4000"/>
        <c:minorUnit val="200"/>
      </c:valAx>
      <c:valAx>
        <c:axId val="58156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1567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Tension /</a:t>
            </a:r>
            <a:r>
              <a:rPr lang="es-ES" baseline="0"/>
              <a:t> Carga aplicada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Hoja1!$J$3</c:f>
              <c:strCache>
                <c:ptCount val="1"/>
                <c:pt idx="0">
                  <c:v>0,4</c:v>
                </c:pt>
              </c:strCache>
            </c:strRef>
          </c:tx>
          <c:spPr>
            <a:ln w="9525" cap="rnd">
              <a:solidFill>
                <a:schemeClr val="accent4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>
                    <a:shade val="7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Hoja1!$K$3:$K$6</c:f>
              <c:numCache>
                <c:formatCode>General</c:formatCode>
                <c:ptCount val="4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</c:numCache>
            </c:numRef>
          </c:xVal>
          <c:yVal>
            <c:numRef>
              <c:f>Hoja1!$O$3:$O$6</c:f>
              <c:numCache>
                <c:formatCode>General</c:formatCode>
                <c:ptCount val="4"/>
                <c:pt idx="0">
                  <c:v>208.25583458517599</c:v>
                </c:pt>
                <c:pt idx="1">
                  <c:v>277.67444611356797</c:v>
                </c:pt>
                <c:pt idx="2">
                  <c:v>347.09305764195994</c:v>
                </c:pt>
                <c:pt idx="3">
                  <c:v>416.51166917035198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6-454F-9DE2-18829212CA5A}"/>
            </c:ext>
          </c:extLst>
        </c:ser>
        <c:ser>
          <c:idx val="1"/>
          <c:order val="1"/>
          <c:tx>
            <c:strRef>
              <c:f>Hoja1!$J$24</c:f>
              <c:strCache>
                <c:ptCount val="1"/>
                <c:pt idx="0">
                  <c:v>0,8</c:v>
                </c:pt>
              </c:strCache>
            </c:strRef>
          </c:tx>
          <c:spPr>
            <a:ln w="9525" cap="rnd">
              <a:solidFill>
                <a:schemeClr val="accent4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>
                    <a:tint val="77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Hoja1!$K$24:$K$27</c:f>
              <c:numCache>
                <c:formatCode>General</c:formatCode>
                <c:ptCount val="4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</c:numCache>
            </c:numRef>
          </c:xVal>
          <c:yVal>
            <c:numRef>
              <c:f>Hoja1!$O$24:$O$27</c:f>
              <c:numCache>
                <c:formatCode>General</c:formatCode>
                <c:ptCount val="4"/>
                <c:pt idx="0">
                  <c:v>184.74307906749482</c:v>
                </c:pt>
                <c:pt idx="1">
                  <c:v>246.32410542332642</c:v>
                </c:pt>
                <c:pt idx="2">
                  <c:v>307.90513177915801</c:v>
                </c:pt>
                <c:pt idx="3">
                  <c:v>369.48615813498964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A6-454F-9DE2-18829212C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544767"/>
        <c:axId val="581546687"/>
      </c:scatterChart>
      <c:valAx>
        <c:axId val="581544767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1546687"/>
        <c:crosses val="autoZero"/>
        <c:crossBetween val="midCat"/>
      </c:valAx>
      <c:valAx>
        <c:axId val="58154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1544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4</xdr:row>
      <xdr:rowOff>129540</xdr:rowOff>
    </xdr:from>
    <xdr:to>
      <xdr:col>7</xdr:col>
      <xdr:colOff>678180</xdr:colOff>
      <xdr:row>21</xdr:row>
      <xdr:rowOff>83820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8C44AF7-5348-9790-6B4B-33159D8D5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376411</xdr:colOff>
      <xdr:row>1</xdr:row>
      <xdr:rowOff>917</xdr:rowOff>
    </xdr:from>
    <xdr:to>
      <xdr:col>23</xdr:col>
      <xdr:colOff>211158</xdr:colOff>
      <xdr:row>15</xdr:row>
      <xdr:rowOff>155153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06D224D-496C-F23E-642A-E71A85B52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156073</xdr:colOff>
      <xdr:row>16</xdr:row>
      <xdr:rowOff>147810</xdr:rowOff>
    </xdr:from>
    <xdr:to>
      <xdr:col>21</xdr:col>
      <xdr:colOff>780362</xdr:colOff>
      <xdr:row>31</xdr:row>
      <xdr:rowOff>118432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2617318-95C4-56DF-DEF1-050F5C82E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F8CD30-4518-4B39-AC83-B54C4C6F598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9c5fbf6-030d-4752-8629-9632598fe09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59F9-A64C-4371-B243-1FF8BE8C0096}">
  <dimension ref="B2:Q39"/>
  <sheetViews>
    <sheetView tabSelected="1" zoomScale="98" zoomScaleNormal="98" workbookViewId="0">
      <selection activeCell="H4" sqref="H4"/>
    </sheetView>
  </sheetViews>
  <sheetFormatPr baseColWidth="10" defaultRowHeight="14.4" x14ac:dyDescent="0.3"/>
  <cols>
    <col min="14" max="15" width="14.77734375" customWidth="1"/>
  </cols>
  <sheetData>
    <row r="2" spans="2:17" ht="15.6" x14ac:dyDescent="0.35">
      <c r="B2" s="1"/>
      <c r="C2" s="3">
        <v>60</v>
      </c>
      <c r="D2" s="3">
        <v>80</v>
      </c>
      <c r="E2" s="3">
        <v>100</v>
      </c>
      <c r="F2" s="3">
        <v>120</v>
      </c>
      <c r="J2" s="6" t="s">
        <v>2</v>
      </c>
      <c r="K2" s="6" t="s">
        <v>3</v>
      </c>
      <c r="L2" s="6" t="s">
        <v>4</v>
      </c>
      <c r="M2" s="7" t="s">
        <v>5</v>
      </c>
      <c r="N2" s="7" t="s">
        <v>6</v>
      </c>
      <c r="O2" s="7" t="s">
        <v>7</v>
      </c>
    </row>
    <row r="3" spans="2:17" x14ac:dyDescent="0.3">
      <c r="B3" s="4" t="s">
        <v>0</v>
      </c>
      <c r="C3" s="2">
        <v>9858</v>
      </c>
      <c r="D3" s="2">
        <v>7533</v>
      </c>
      <c r="E3" s="2">
        <v>5593</v>
      </c>
      <c r="F3" s="2">
        <v>5292</v>
      </c>
      <c r="J3" s="2">
        <f>$K$13</f>
        <v>0.4</v>
      </c>
      <c r="K3" s="2">
        <f>C2</f>
        <v>60</v>
      </c>
      <c r="L3" s="2">
        <f>C3</f>
        <v>9858</v>
      </c>
      <c r="M3" s="2">
        <f>($K$10*K3*32)/(PI()*$K$11^3)</f>
        <v>119.96303835551612</v>
      </c>
      <c r="N3" s="2">
        <f>M3*$N$12</f>
        <v>257.92053246435967</v>
      </c>
      <c r="O3" s="2">
        <f>M3*$K$20</f>
        <v>208.25583458517599</v>
      </c>
    </row>
    <row r="4" spans="2:17" x14ac:dyDescent="0.3">
      <c r="B4" s="4" t="s">
        <v>1</v>
      </c>
      <c r="C4" s="2">
        <v>12612</v>
      </c>
      <c r="D4" s="2">
        <v>6956</v>
      </c>
      <c r="E4" s="2">
        <v>9257</v>
      </c>
      <c r="F4" s="2">
        <v>4328</v>
      </c>
      <c r="J4" s="2">
        <f>$K$13</f>
        <v>0.4</v>
      </c>
      <c r="K4" s="2">
        <f>D2</f>
        <v>80</v>
      </c>
      <c r="L4" s="2">
        <f>D3</f>
        <v>7533</v>
      </c>
      <c r="M4" s="2">
        <f t="shared" ref="M4:M6" si="0">($K$10*K4*32)/(PI()*$K$11^3)</f>
        <v>159.95071780735481</v>
      </c>
      <c r="N4" s="2">
        <f t="shared" ref="N4:N6" si="1">M4*$N$12</f>
        <v>343.89404328581281</v>
      </c>
      <c r="O4" s="2">
        <f t="shared" ref="O4:O6" si="2">M4*$K$20</f>
        <v>277.67444611356797</v>
      </c>
    </row>
    <row r="5" spans="2:17" x14ac:dyDescent="0.3">
      <c r="J5" s="2">
        <f>$K$13</f>
        <v>0.4</v>
      </c>
      <c r="K5" s="2">
        <f>E2</f>
        <v>100</v>
      </c>
      <c r="L5" s="2">
        <f>E3</f>
        <v>5593</v>
      </c>
      <c r="M5" s="2">
        <f t="shared" si="0"/>
        <v>199.93839725919352</v>
      </c>
      <c r="N5" s="2">
        <f t="shared" si="1"/>
        <v>429.86755410726607</v>
      </c>
      <c r="O5" s="2">
        <f t="shared" si="2"/>
        <v>347.09305764195994</v>
      </c>
    </row>
    <row r="6" spans="2:17" x14ac:dyDescent="0.3">
      <c r="J6" s="2">
        <f>$K$13</f>
        <v>0.4</v>
      </c>
      <c r="K6" s="2">
        <f>F2</f>
        <v>120</v>
      </c>
      <c r="L6" s="2">
        <f>F3</f>
        <v>5292</v>
      </c>
      <c r="M6" s="2">
        <f t="shared" si="0"/>
        <v>239.92607671103224</v>
      </c>
      <c r="N6" s="2">
        <f t="shared" si="1"/>
        <v>515.84106492871933</v>
      </c>
      <c r="O6" s="2">
        <f t="shared" si="2"/>
        <v>416.51166917035198</v>
      </c>
    </row>
    <row r="9" spans="2:17" x14ac:dyDescent="0.3">
      <c r="J9" s="9" t="s">
        <v>8</v>
      </c>
      <c r="K9" s="9"/>
      <c r="M9" s="9" t="s">
        <v>14</v>
      </c>
      <c r="N9" s="9"/>
      <c r="P9" s="9" t="s">
        <v>24</v>
      </c>
      <c r="Q9" s="9"/>
    </row>
    <row r="10" spans="2:17" x14ac:dyDescent="0.3">
      <c r="J10" s="2" t="s">
        <v>9</v>
      </c>
      <c r="K10" s="2">
        <v>100.5</v>
      </c>
      <c r="M10" s="2" t="s">
        <v>15</v>
      </c>
      <c r="N10" s="2">
        <f>K12/K11</f>
        <v>1.5</v>
      </c>
      <c r="P10" s="2" t="s">
        <v>15</v>
      </c>
      <c r="Q10" s="2">
        <f>K12/K11</f>
        <v>1.5</v>
      </c>
    </row>
    <row r="11" spans="2:17" x14ac:dyDescent="0.3">
      <c r="J11" s="2" t="s">
        <v>10</v>
      </c>
      <c r="K11" s="2">
        <v>8</v>
      </c>
      <c r="M11" s="2" t="s">
        <v>16</v>
      </c>
      <c r="N11" s="2">
        <f>K13/K11</f>
        <v>0.05</v>
      </c>
      <c r="P11" s="2" t="s">
        <v>23</v>
      </c>
      <c r="Q11" s="2">
        <f>K14/K11</f>
        <v>0.1</v>
      </c>
    </row>
    <row r="12" spans="2:17" x14ac:dyDescent="0.3">
      <c r="J12" s="2" t="s">
        <v>11</v>
      </c>
      <c r="K12" s="2">
        <v>12</v>
      </c>
      <c r="M12" s="2" t="s">
        <v>17</v>
      </c>
      <c r="N12" s="2">
        <v>2.15</v>
      </c>
      <c r="P12" s="2" t="s">
        <v>17</v>
      </c>
      <c r="Q12" s="2">
        <v>1.75</v>
      </c>
    </row>
    <row r="13" spans="2:17" x14ac:dyDescent="0.3">
      <c r="J13" s="2" t="s">
        <v>12</v>
      </c>
      <c r="K13" s="2">
        <v>0.4</v>
      </c>
    </row>
    <row r="14" spans="2:17" x14ac:dyDescent="0.3">
      <c r="J14" s="2" t="s">
        <v>13</v>
      </c>
      <c r="K14" s="2">
        <v>0.8</v>
      </c>
    </row>
    <row r="16" spans="2:17" x14ac:dyDescent="0.3">
      <c r="J16" s="9" t="s">
        <v>18</v>
      </c>
      <c r="K16" s="9"/>
      <c r="L16" s="9"/>
    </row>
    <row r="17" spans="2:15" x14ac:dyDescent="0.3">
      <c r="J17" s="2" t="s">
        <v>19</v>
      </c>
      <c r="K17" s="5">
        <f>K13</f>
        <v>0.4</v>
      </c>
      <c r="L17" s="5">
        <f>K14</f>
        <v>0.8</v>
      </c>
    </row>
    <row r="18" spans="2:15" x14ac:dyDescent="0.3">
      <c r="J18" s="2" t="s">
        <v>20</v>
      </c>
      <c r="K18" s="5">
        <v>611</v>
      </c>
      <c r="L18" s="5">
        <f>K18</f>
        <v>611</v>
      </c>
    </row>
    <row r="19" spans="2:15" x14ac:dyDescent="0.3">
      <c r="J19" s="2" t="s">
        <v>21</v>
      </c>
      <c r="K19" s="5">
        <v>0.64</v>
      </c>
      <c r="L19" s="5">
        <v>0.72</v>
      </c>
    </row>
    <row r="20" spans="2:15" x14ac:dyDescent="0.3">
      <c r="J20" s="2" t="s">
        <v>22</v>
      </c>
      <c r="K20" s="5">
        <f>1+K19*(N12-1)</f>
        <v>1.736</v>
      </c>
      <c r="L20" s="5">
        <f>1+L19*(Q12-1)</f>
        <v>1.54</v>
      </c>
    </row>
    <row r="23" spans="2:15" ht="15.6" x14ac:dyDescent="0.35">
      <c r="J23" s="6" t="s">
        <v>2</v>
      </c>
      <c r="K23" s="6" t="s">
        <v>3</v>
      </c>
      <c r="L23" s="6" t="s">
        <v>4</v>
      </c>
      <c r="M23" s="7" t="s">
        <v>5</v>
      </c>
      <c r="N23" s="7" t="s">
        <v>6</v>
      </c>
      <c r="O23" s="7" t="s">
        <v>7</v>
      </c>
    </row>
    <row r="24" spans="2:15" x14ac:dyDescent="0.3">
      <c r="B24" s="9" t="s">
        <v>25</v>
      </c>
      <c r="C24" s="9"/>
      <c r="E24" s="6" t="s">
        <v>34</v>
      </c>
      <c r="F24" s="2">
        <v>0.86099999999999999</v>
      </c>
      <c r="J24" s="2">
        <f>$K$14</f>
        <v>0.8</v>
      </c>
      <c r="K24" s="2">
        <f>C2</f>
        <v>60</v>
      </c>
      <c r="L24" s="2">
        <f>C4</f>
        <v>12612</v>
      </c>
      <c r="M24" s="2">
        <f>($K$10*K24*32)/(PI()*$K$11^3)</f>
        <v>119.96303835551612</v>
      </c>
      <c r="N24" s="2">
        <f>M24*$Q$12</f>
        <v>209.93531712215321</v>
      </c>
      <c r="O24" s="2">
        <f>M24*$L$20</f>
        <v>184.74307906749482</v>
      </c>
    </row>
    <row r="25" spans="2:15" x14ac:dyDescent="0.3">
      <c r="B25" s="2" t="s">
        <v>26</v>
      </c>
      <c r="C25" s="2">
        <v>305.5</v>
      </c>
      <c r="E25" s="6" t="s">
        <v>35</v>
      </c>
      <c r="F25" s="2">
        <f>((F24*K18)^2/C32)</f>
        <v>1107.6711161116002</v>
      </c>
      <c r="J25" s="2">
        <f>$K$14</f>
        <v>0.8</v>
      </c>
      <c r="K25" s="2">
        <f>D2</f>
        <v>80</v>
      </c>
      <c r="L25" s="2">
        <f>D4</f>
        <v>6956</v>
      </c>
      <c r="M25" s="2">
        <f t="shared" ref="M25:M27" si="3">($K$10*K25*32)/(PI()*$K$11^3)</f>
        <v>159.95071780735481</v>
      </c>
      <c r="N25" s="2">
        <f t="shared" ref="N25:N27" si="4">M25*$Q$12</f>
        <v>279.91375616287092</v>
      </c>
      <c r="O25" s="2">
        <f t="shared" ref="O25:O27" si="5">M25*$L$20</f>
        <v>246.32410542332642</v>
      </c>
    </row>
    <row r="26" spans="2:15" x14ac:dyDescent="0.3">
      <c r="B26" s="2" t="s">
        <v>27</v>
      </c>
      <c r="C26" s="8">
        <f>4.51*(K18^(-0.265))</f>
        <v>0.82390212154087039</v>
      </c>
      <c r="E26" s="6" t="s">
        <v>36</v>
      </c>
      <c r="F26" s="2">
        <f>(-1/3)*LOG10((F24*K18)/C32)</f>
        <v>-0.10778882313328508</v>
      </c>
      <c r="J26" s="2">
        <f>$K$14</f>
        <v>0.8</v>
      </c>
      <c r="K26" s="2">
        <f>E2</f>
        <v>100</v>
      </c>
      <c r="L26" s="2">
        <f>E4</f>
        <v>9257</v>
      </c>
      <c r="M26" s="2">
        <f t="shared" si="3"/>
        <v>199.93839725919352</v>
      </c>
      <c r="N26" s="2">
        <f t="shared" si="4"/>
        <v>349.89219520358864</v>
      </c>
      <c r="O26" s="2">
        <f t="shared" si="5"/>
        <v>307.90513177915801</v>
      </c>
    </row>
    <row r="27" spans="2:15" x14ac:dyDescent="0.3">
      <c r="B27" s="2" t="s">
        <v>28</v>
      </c>
      <c r="C27" s="8">
        <f>1.24*(K11^(-0.107))</f>
        <v>0.99263836521381565</v>
      </c>
      <c r="J27" s="2">
        <f>$K$14</f>
        <v>0.8</v>
      </c>
      <c r="K27" s="2">
        <f>F2</f>
        <v>120</v>
      </c>
      <c r="L27" s="2">
        <f>F4</f>
        <v>4328</v>
      </c>
      <c r="M27" s="2">
        <f t="shared" si="3"/>
        <v>239.92607671103224</v>
      </c>
      <c r="N27" s="2">
        <f t="shared" si="4"/>
        <v>419.87063424430642</v>
      </c>
      <c r="O27" s="2">
        <f t="shared" si="5"/>
        <v>369.48615813498964</v>
      </c>
    </row>
    <row r="28" spans="2:15" x14ac:dyDescent="0.3">
      <c r="B28" s="2" t="s">
        <v>29</v>
      </c>
      <c r="C28" s="2">
        <v>1</v>
      </c>
    </row>
    <row r="29" spans="2:15" ht="15.6" x14ac:dyDescent="0.35">
      <c r="B29" s="2" t="s">
        <v>30</v>
      </c>
      <c r="C29" s="2">
        <v>1</v>
      </c>
      <c r="E29" s="6" t="s">
        <v>2</v>
      </c>
      <c r="F29" s="6" t="s">
        <v>3</v>
      </c>
      <c r="G29" s="6" t="s">
        <v>34</v>
      </c>
      <c r="H29" s="6" t="s">
        <v>35</v>
      </c>
      <c r="I29" s="6" t="s">
        <v>36</v>
      </c>
      <c r="J29" s="7" t="s">
        <v>37</v>
      </c>
      <c r="K29" s="7" t="s">
        <v>38</v>
      </c>
      <c r="L29" s="6" t="s">
        <v>4</v>
      </c>
    </row>
    <row r="30" spans="2:15" x14ac:dyDescent="0.3">
      <c r="B30" s="2" t="s">
        <v>31</v>
      </c>
      <c r="C30" s="2">
        <v>1</v>
      </c>
      <c r="E30" s="2">
        <f>J3</f>
        <v>0.4</v>
      </c>
      <c r="F30" s="2">
        <f>K3</f>
        <v>60</v>
      </c>
      <c r="G30" s="2">
        <f>$F$24</f>
        <v>0.86099999999999999</v>
      </c>
      <c r="H30" s="2">
        <f>$F$25</f>
        <v>1107.6711161116002</v>
      </c>
      <c r="I30" s="2">
        <f>$F$26</f>
        <v>-0.10778882313328508</v>
      </c>
      <c r="J30" s="2">
        <f>M3</f>
        <v>119.96303835551612</v>
      </c>
      <c r="K30" s="2">
        <f>J30*$K$20</f>
        <v>208.25583458517599</v>
      </c>
      <c r="L30" s="2" t="str">
        <f>IF(K30&lt;$C$32,"Vida infinita",(K30/H30)^(1/I30))</f>
        <v>Vida infinita</v>
      </c>
    </row>
    <row r="31" spans="2:15" x14ac:dyDescent="0.3">
      <c r="B31" s="2" t="s">
        <v>32</v>
      </c>
      <c r="C31" s="2">
        <v>1</v>
      </c>
      <c r="E31" s="2">
        <f>J4</f>
        <v>0.4</v>
      </c>
      <c r="F31" s="2">
        <f>K4</f>
        <v>80</v>
      </c>
      <c r="G31" s="2">
        <f>$F$24</f>
        <v>0.86099999999999999</v>
      </c>
      <c r="H31" s="2">
        <f>$F$25</f>
        <v>1107.6711161116002</v>
      </c>
      <c r="I31" s="2">
        <f>$F$26</f>
        <v>-0.10778882313328508</v>
      </c>
      <c r="J31" s="2">
        <f>M4</f>
        <v>159.95071780735481</v>
      </c>
      <c r="K31" s="2">
        <f t="shared" ref="K31:K33" si="6">J31*$K$20</f>
        <v>277.67444611356797</v>
      </c>
      <c r="L31" s="2">
        <f>IF(K31&lt;$C$32,"Vida infinita",(K31/H31)^(1/I31))</f>
        <v>375454.05487034394</v>
      </c>
    </row>
    <row r="32" spans="2:15" x14ac:dyDescent="0.3">
      <c r="B32" s="2" t="s">
        <v>33</v>
      </c>
      <c r="C32" s="8">
        <f>C25*C26*C27*C28*C29*C30*C31</f>
        <v>249.84915920938107</v>
      </c>
      <c r="E32" s="2">
        <f>J5</f>
        <v>0.4</v>
      </c>
      <c r="F32" s="2">
        <f>K5</f>
        <v>100</v>
      </c>
      <c r="G32" s="2">
        <f>$F$24</f>
        <v>0.86099999999999999</v>
      </c>
      <c r="H32" s="2">
        <f>$F$25</f>
        <v>1107.6711161116002</v>
      </c>
      <c r="I32" s="2">
        <f>$F$26</f>
        <v>-0.10778882313328508</v>
      </c>
      <c r="J32" s="2">
        <f>M5</f>
        <v>199.93839725919352</v>
      </c>
      <c r="K32" s="2">
        <f t="shared" si="6"/>
        <v>347.09305764195994</v>
      </c>
      <c r="L32" s="2">
        <f>IF(K32&lt;$C$32,"Vida infinita",(K32/H32)^(1/I32))</f>
        <v>47367.871431276122</v>
      </c>
    </row>
    <row r="33" spans="5:12" x14ac:dyDescent="0.3">
      <c r="E33" s="2">
        <f>J6</f>
        <v>0.4</v>
      </c>
      <c r="F33" s="2">
        <f>K6</f>
        <v>120</v>
      </c>
      <c r="G33" s="2">
        <f>$F$24</f>
        <v>0.86099999999999999</v>
      </c>
      <c r="H33" s="2">
        <f>$F$25</f>
        <v>1107.6711161116002</v>
      </c>
      <c r="I33" s="2">
        <f>$F$26</f>
        <v>-0.10778882313328508</v>
      </c>
      <c r="J33" s="2">
        <f>M6</f>
        <v>239.92607671103224</v>
      </c>
      <c r="K33" s="2">
        <f t="shared" si="6"/>
        <v>416.51166917035198</v>
      </c>
      <c r="L33" s="2">
        <f>IF(K33&lt;$C$32,"Vida infinita",(K33/H33)^(1/I33))</f>
        <v>8727.458604619791</v>
      </c>
    </row>
    <row r="35" spans="5:12" ht="15.6" x14ac:dyDescent="0.35">
      <c r="E35" s="6" t="s">
        <v>2</v>
      </c>
      <c r="F35" s="6" t="s">
        <v>3</v>
      </c>
      <c r="G35" s="6" t="s">
        <v>34</v>
      </c>
      <c r="H35" s="6" t="s">
        <v>35</v>
      </c>
      <c r="I35" s="6" t="s">
        <v>36</v>
      </c>
      <c r="J35" s="7" t="s">
        <v>37</v>
      </c>
      <c r="K35" s="7" t="s">
        <v>38</v>
      </c>
      <c r="L35" s="6" t="s">
        <v>4</v>
      </c>
    </row>
    <row r="36" spans="5:12" x14ac:dyDescent="0.3">
      <c r="E36" s="2">
        <f>J24</f>
        <v>0.8</v>
      </c>
      <c r="F36" s="2">
        <f>K24</f>
        <v>60</v>
      </c>
      <c r="G36" s="2">
        <f>$F$24</f>
        <v>0.86099999999999999</v>
      </c>
      <c r="H36" s="2">
        <f>$F$25</f>
        <v>1107.6711161116002</v>
      </c>
      <c r="I36" s="2">
        <f>$F$26</f>
        <v>-0.10778882313328508</v>
      </c>
      <c r="J36" s="2">
        <f>M24</f>
        <v>119.96303835551612</v>
      </c>
      <c r="K36" s="2">
        <f>J36*$L$20</f>
        <v>184.74307906749482</v>
      </c>
      <c r="L36" s="2" t="str">
        <f>IF(K36&lt;$C$32,"Vida infinita",(K36/H36)^(1/I36))</f>
        <v>Vida infinita</v>
      </c>
    </row>
    <row r="37" spans="5:12" x14ac:dyDescent="0.3">
      <c r="E37" s="2">
        <f>J25</f>
        <v>0.8</v>
      </c>
      <c r="F37" s="2">
        <f>K25</f>
        <v>80</v>
      </c>
      <c r="G37" s="2">
        <f>$F$24</f>
        <v>0.86099999999999999</v>
      </c>
      <c r="H37" s="2">
        <f>$F$25</f>
        <v>1107.6711161116002</v>
      </c>
      <c r="I37" s="2">
        <f>$F$26</f>
        <v>-0.10778882313328508</v>
      </c>
      <c r="J37" s="2">
        <f>M25</f>
        <v>159.95071780735481</v>
      </c>
      <c r="K37" s="2">
        <f t="shared" ref="K37:K39" si="8">J37*$L$20</f>
        <v>246.32410542332642</v>
      </c>
      <c r="L37" s="2" t="str">
        <f>IF(K37&lt;$C$32,"Vida infinita",(K37/H37)^(1/I37))</f>
        <v>Vida infinita</v>
      </c>
    </row>
    <row r="38" spans="5:12" x14ac:dyDescent="0.3">
      <c r="E38" s="2">
        <f>J26</f>
        <v>0.8</v>
      </c>
      <c r="F38" s="2">
        <f>K26</f>
        <v>100</v>
      </c>
      <c r="G38" s="2">
        <f>$F$24</f>
        <v>0.86099999999999999</v>
      </c>
      <c r="H38" s="2">
        <f>$F$25</f>
        <v>1107.6711161116002</v>
      </c>
      <c r="I38" s="2">
        <f>$F$26</f>
        <v>-0.10778882313328508</v>
      </c>
      <c r="J38" s="2">
        <f>M26</f>
        <v>199.93839725919352</v>
      </c>
      <c r="K38" s="2">
        <f t="shared" si="8"/>
        <v>307.90513177915801</v>
      </c>
      <c r="L38" s="2">
        <f>IF(K38&lt;$C$32,"Vida infinita",(K38/H38)^(1/I38))</f>
        <v>143938.74128002441</v>
      </c>
    </row>
    <row r="39" spans="5:12" x14ac:dyDescent="0.3">
      <c r="E39" s="2">
        <f>J27</f>
        <v>0.8</v>
      </c>
      <c r="F39" s="2">
        <f>K27</f>
        <v>120</v>
      </c>
      <c r="G39" s="2">
        <f>$F$24</f>
        <v>0.86099999999999999</v>
      </c>
      <c r="H39" s="2">
        <f>$F$25</f>
        <v>1107.6711161116002</v>
      </c>
      <c r="I39" s="2">
        <f>$F$26</f>
        <v>-0.10778882313328508</v>
      </c>
      <c r="J39" s="2">
        <f>M27</f>
        <v>239.92607671103224</v>
      </c>
      <c r="K39" s="2">
        <f t="shared" si="8"/>
        <v>369.48615813498964</v>
      </c>
      <c r="L39" s="2">
        <f>IF(K39&lt;$C$32,"Vida infinita",(K39/H39)^(1/I39))</f>
        <v>26520.495183007846</v>
      </c>
    </row>
  </sheetData>
  <mergeCells count="5">
    <mergeCell ref="J9:K9"/>
    <mergeCell ref="M9:N9"/>
    <mergeCell ref="J16:L16"/>
    <mergeCell ref="P9:Q9"/>
    <mergeCell ref="B24:C2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3fba6f1-aff4-4b79-8885-6d979e1ad1b9}" enabled="1" method="Standard" siteId="{1c970947-1e9c-4245-bea0-b5ce2a7777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Chaymaa Mounir Berouil</dc:creator>
  <cp:lastModifiedBy>Iván Roig Pérez</cp:lastModifiedBy>
  <dcterms:created xsi:type="dcterms:W3CDTF">2025-11-26T09:52:39Z</dcterms:created>
  <dcterms:modified xsi:type="dcterms:W3CDTF">2026-10-23T11:28:14Z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fba6f1-aff4-4b79-8885-6d979e1ad1b9_Enabled">
    <vt:lpwstr>true</vt:lpwstr>
  </property>
  <property fmtid="{D5CDD505-2E9C-101B-9397-08002B2CF9AE}" pid="3" name="MSIP_Label_63fba6f1-aff4-4b79-8885-6d979e1ad1b9_SetDate">
    <vt:lpwstr>2025-11-26T11:48:23Z</vt:lpwstr>
  </property>
  <property fmtid="{D5CDD505-2E9C-101B-9397-08002B2CF9AE}" pid="4" name="MSIP_Label_63fba6f1-aff4-4b79-8885-6d979e1ad1b9_Method">
    <vt:lpwstr>Standard</vt:lpwstr>
  </property>
  <property fmtid="{D5CDD505-2E9C-101B-9397-08002B2CF9AE}" pid="5" name="MSIP_Label_63fba6f1-aff4-4b79-8885-6d979e1ad1b9_Name">
    <vt:lpwstr>defa4170-0d19-0005-0004-bc88714345d2</vt:lpwstr>
  </property>
  <property fmtid="{D5CDD505-2E9C-101B-9397-08002B2CF9AE}" pid="6" name="MSIP_Label_63fba6f1-aff4-4b79-8885-6d979e1ad1b9_SiteId">
    <vt:lpwstr>1c970947-1e9c-4245-bea0-b5ce2a77773b</vt:lpwstr>
  </property>
  <property fmtid="{D5CDD505-2E9C-101B-9397-08002B2CF9AE}" pid="7" name="MSIP_Label_63fba6f1-aff4-4b79-8885-6d979e1ad1b9_ActionId">
    <vt:lpwstr>35ed7efa-e476-4c72-9997-1529daae23f8</vt:lpwstr>
  </property>
  <property fmtid="{D5CDD505-2E9C-101B-9397-08002B2CF9AE}" pid="8" name="MSIP_Label_63fba6f1-aff4-4b79-8885-6d979e1ad1b9_ContentBits">
    <vt:lpwstr>0</vt:lpwstr>
  </property>
  <property fmtid="{D5CDD505-2E9C-101B-9397-08002B2CF9AE}" pid="9" name="MSIP_Label_63fba6f1-aff4-4b79-8885-6d979e1ad1b9_Tag">
    <vt:lpwstr>10, 3, 0, 1</vt:lpwstr>
  </property>
</Properties>
</file>